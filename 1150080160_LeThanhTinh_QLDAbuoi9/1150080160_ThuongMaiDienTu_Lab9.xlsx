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M_DuAn" sheetId="1" state="visible" r:id="rId1"/>
    <sheet xmlns:r="http://schemas.openxmlformats.org/officeDocument/2006/relationships" name="WSM_ChucNang" sheetId="2" state="visible" r:id="rId2"/>
    <sheet xmlns:r="http://schemas.openxmlformats.org/officeDocument/2006/relationships" name="PhanTichTaiChinh" sheetId="3" state="visible" r:id="rId3"/>
    <sheet xmlns:r="http://schemas.openxmlformats.org/officeDocument/2006/relationships" name="TongH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5555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điểm trọng số theo chức năng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'WSM_ChucNang'!$A$2:$A$9</f>
            </numRef>
          </cat>
          <val>
            <numRef>
              <f>'WSM_ChucNang'!$D$2:$D$9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quy đổi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Chức năng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Tiêu chí</t>
        </is>
      </c>
      <c r="B1" s="1" t="inlineStr">
        <is>
          <t>Trọng số (%)</t>
        </is>
      </c>
      <c r="C1" s="1" t="inlineStr">
        <is>
          <t>Điểm (1–5)</t>
        </is>
      </c>
      <c r="D1" s="1" t="inlineStr">
        <is>
          <t>Điểm quy đổi</t>
        </is>
      </c>
      <c r="E1" s="1" t="inlineStr">
        <is>
          <t>Ghi chú</t>
        </is>
      </c>
    </row>
    <row r="2">
      <c r="A2" t="inlineStr">
        <is>
          <t>Lợi ích kinh doanh</t>
        </is>
      </c>
      <c r="B2" t="n">
        <v>30</v>
      </c>
      <c r="C2" t="n">
        <v>5</v>
      </c>
      <c r="D2">
        <f>B2*C2/100</f>
        <v/>
      </c>
      <c r="E2" t="inlineStr">
        <is>
          <t>Tăng doanh thu &amp; trải nghiệm</t>
        </is>
      </c>
    </row>
    <row r="3">
      <c r="A3" t="inlineStr">
        <is>
          <t>Khả thi kỹ thuật</t>
        </is>
      </c>
      <c r="B3" t="n">
        <v>20</v>
      </c>
      <c r="C3" t="n">
        <v>4</v>
      </c>
      <c r="D3">
        <f>B3*C3/100</f>
        <v/>
      </c>
      <c r="E3" t="inlineStr">
        <is>
          <t>Dễ triển khai với React, Node</t>
        </is>
      </c>
    </row>
    <row r="4">
      <c r="A4" t="inlineStr">
        <is>
          <t>Thời gian triển khai</t>
        </is>
      </c>
      <c r="B4" t="n">
        <v>10</v>
      </c>
      <c r="C4" t="n">
        <v>4</v>
      </c>
      <c r="D4">
        <f>B4*C4/100</f>
        <v/>
      </c>
      <c r="E4" t="inlineStr">
        <is>
          <t>8–10 tuần</t>
        </is>
      </c>
    </row>
    <row r="5">
      <c r="A5" t="inlineStr">
        <is>
          <t>Rủi ro</t>
        </is>
      </c>
      <c r="B5" t="n">
        <v>15</v>
      </c>
      <c r="C5" t="n">
        <v>3</v>
      </c>
      <c r="D5">
        <f>B5*C5/100</f>
        <v/>
      </c>
      <c r="E5" t="inlineStr">
        <is>
          <t>Phụ thuộc tích hợp thanh toán</t>
        </is>
      </c>
    </row>
    <row r="6">
      <c r="A6" t="inlineStr">
        <is>
          <t>Chi phí</t>
        </is>
      </c>
      <c r="B6" t="n">
        <v>15</v>
      </c>
      <c r="C6" t="n">
        <v>3</v>
      </c>
      <c r="D6">
        <f>B6*C6/100</f>
        <v/>
      </c>
      <c r="E6" t="inlineStr">
        <is>
          <t>Chi phí server &amp; domain</t>
        </is>
      </c>
    </row>
    <row r="7">
      <c r="A7" t="inlineStr">
        <is>
          <t>Mở rộng</t>
        </is>
      </c>
      <c r="B7" t="n">
        <v>10</v>
      </c>
      <c r="C7" t="n">
        <v>5</v>
      </c>
      <c r="D7">
        <f>B7*C7/100</f>
        <v/>
      </c>
      <c r="E7" t="inlineStr">
        <is>
          <t>Mở rộng dễ bằng microservice</t>
        </is>
      </c>
    </row>
    <row r="8">
      <c r="A8" t="inlineStr">
        <is>
          <t>Tổng</t>
        </is>
      </c>
      <c r="B8">
        <f>SUM(B2:B7)</f>
        <v/>
      </c>
      <c r="C8" t="inlineStr"/>
      <c r="D8">
        <f>SUM(D2:D7)</f>
        <v/>
      </c>
      <c r="E8" t="inlineStr"/>
    </row>
    <row r="9">
      <c r="A9" s="2" t="inlineStr">
        <is>
          <t>→ Tổng điểm trung bình (0–5): 4.1 – Dự án ưu tiên cao.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Chức năng</t>
        </is>
      </c>
      <c r="B1" s="1" t="inlineStr">
        <is>
          <t>Trọng số (%)</t>
        </is>
      </c>
      <c r="C1" s="1" t="inlineStr">
        <is>
          <t>Điểm (1–5)</t>
        </is>
      </c>
      <c r="D1" s="1" t="inlineStr">
        <is>
          <t>Điểm quy đổi</t>
        </is>
      </c>
    </row>
    <row r="2">
      <c r="A2" t="inlineStr">
        <is>
          <t>Đăng nhập/Đăng ký/Quên MK</t>
        </is>
      </c>
      <c r="B2" t="n">
        <v>10</v>
      </c>
      <c r="C2" t="n">
        <v>5</v>
      </c>
      <c r="D2">
        <f>B2*C2/100</f>
        <v/>
      </c>
    </row>
    <row r="3">
      <c r="A3" t="inlineStr">
        <is>
          <t>Quản lý sản phẩm &amp; danh mục</t>
        </is>
      </c>
      <c r="B3" t="n">
        <v>20</v>
      </c>
      <c r="C3" t="n">
        <v>5</v>
      </c>
      <c r="D3">
        <f>B3*C3/100</f>
        <v/>
      </c>
    </row>
    <row r="4">
      <c r="A4" t="inlineStr">
        <is>
          <t>Quản lý đơn hàng</t>
        </is>
      </c>
      <c r="B4" t="n">
        <v>20</v>
      </c>
      <c r="C4" t="n">
        <v>4</v>
      </c>
      <c r="D4">
        <f>B4*C4/100</f>
        <v/>
      </c>
    </row>
    <row r="5">
      <c r="A5" t="inlineStr">
        <is>
          <t>Thanh toán trực tuyến</t>
        </is>
      </c>
      <c r="B5" t="n">
        <v>15</v>
      </c>
      <c r="C5" t="n">
        <v>4</v>
      </c>
      <c r="D5">
        <f>B5*C5/100</f>
        <v/>
      </c>
    </row>
    <row r="6">
      <c r="A6" t="inlineStr">
        <is>
          <t>Chat Realtime (Khách–Người bán)</t>
        </is>
      </c>
      <c r="B6" t="n">
        <v>10</v>
      </c>
      <c r="C6" t="n">
        <v>3</v>
      </c>
      <c r="D6">
        <f>B6*C6/100</f>
        <v/>
      </c>
    </row>
    <row r="7">
      <c r="A7" t="inlineStr">
        <is>
          <t>Khuyến mãi &amp; Vận chuyển</t>
        </is>
      </c>
      <c r="B7" t="n">
        <v>10</v>
      </c>
      <c r="C7" t="n">
        <v>3</v>
      </c>
      <c r="D7">
        <f>B7*C7/100</f>
        <v/>
      </c>
    </row>
    <row r="8">
      <c r="A8" t="inlineStr">
        <is>
          <t>Thống kê &amp; Báo cáo</t>
        </is>
      </c>
      <c r="B8" t="n">
        <v>10</v>
      </c>
      <c r="C8" t="n">
        <v>4</v>
      </c>
      <c r="D8">
        <f>B8*C8/100</f>
        <v/>
      </c>
    </row>
    <row r="9">
      <c r="A9" t="inlineStr">
        <is>
          <t>Quản trị hệ thống (Admin)</t>
        </is>
      </c>
      <c r="B9" t="n">
        <v>5</v>
      </c>
      <c r="C9" t="n">
        <v>4</v>
      </c>
      <c r="D9">
        <f>B9*C9/100</f>
        <v/>
      </c>
    </row>
    <row r="10">
      <c r="A10" t="inlineStr">
        <is>
          <t>Tổng</t>
        </is>
      </c>
      <c r="B10">
        <f>SUM(B2:B9)</f>
        <v/>
      </c>
      <c r="C10" t="inlineStr"/>
      <c r="D10">
        <f>SUM(D2:D9)</f>
        <v/>
      </c>
    </row>
    <row r="11">
      <c r="A11" s="2" t="inlineStr">
        <is>
          <t>→ Tổng điểm trung bình (0–5): 4.1 – Ưu tiên nhóm chức năng chính.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Năm</t>
        </is>
      </c>
      <c r="B1" s="1" t="inlineStr">
        <is>
          <t>Chi phí (triệu)</t>
        </is>
      </c>
      <c r="C1" s="1" t="inlineStr">
        <is>
          <t>Lợi ích (triệu)</t>
        </is>
      </c>
      <c r="D1" s="1" t="inlineStr">
        <is>
          <t>Hệ số chiết khấu</t>
        </is>
      </c>
      <c r="E1" s="1" t="inlineStr">
        <is>
          <t>PV Chi phí</t>
        </is>
      </c>
      <c r="F1" s="1" t="inlineStr">
        <is>
          <t>PV Lợi ích</t>
        </is>
      </c>
      <c r="G1" s="1" t="inlineStr">
        <is>
          <t>Lũy kế Chi phí</t>
        </is>
      </c>
      <c r="H1" s="1" t="inlineStr">
        <is>
          <t>Lũy kế Lợi ích</t>
        </is>
      </c>
    </row>
    <row r="2">
      <c r="A2" t="n">
        <v>0</v>
      </c>
      <c r="B2" t="n">
        <v>120</v>
      </c>
      <c r="C2" t="n">
        <v>0</v>
      </c>
      <c r="D2">
        <f>1/(1+0.1)^A2</f>
        <v/>
      </c>
      <c r="E2">
        <f>B2*D2</f>
        <v/>
      </c>
      <c r="F2">
        <f>C2*D2</f>
        <v/>
      </c>
      <c r="G2">
        <f>SUM($B$2:B2)</f>
        <v/>
      </c>
      <c r="H2">
        <f>SUM($C$2:C2)</f>
        <v/>
      </c>
    </row>
    <row r="3">
      <c r="A3" t="n">
        <v>1</v>
      </c>
      <c r="B3" t="n">
        <v>40</v>
      </c>
      <c r="C3" t="n">
        <v>80</v>
      </c>
      <c r="D3">
        <f>1/(1+0.1)^A3</f>
        <v/>
      </c>
      <c r="E3">
        <f>B3*D3</f>
        <v/>
      </c>
      <c r="F3">
        <f>C3*D3</f>
        <v/>
      </c>
      <c r="G3">
        <f>SUM($B$2:B3)</f>
        <v/>
      </c>
      <c r="H3">
        <f>SUM($C$2:C3)</f>
        <v/>
      </c>
    </row>
    <row r="4">
      <c r="A4" t="n">
        <v>2</v>
      </c>
      <c r="B4" t="n">
        <v>30</v>
      </c>
      <c r="C4" t="n">
        <v>100</v>
      </c>
      <c r="D4">
        <f>1/(1+0.1)^A4</f>
        <v/>
      </c>
      <c r="E4">
        <f>B4*D4</f>
        <v/>
      </c>
      <c r="F4">
        <f>C4*D4</f>
        <v/>
      </c>
      <c r="G4">
        <f>SUM($B$2:B4)</f>
        <v/>
      </c>
      <c r="H4">
        <f>SUM($C$2:C4)</f>
        <v/>
      </c>
    </row>
    <row r="5">
      <c r="A5" t="n">
        <v>3</v>
      </c>
      <c r="B5" t="n">
        <v>20</v>
      </c>
      <c r="C5" t="n">
        <v>120</v>
      </c>
      <c r="D5">
        <f>1/(1+0.1)^A5</f>
        <v/>
      </c>
      <c r="E5">
        <f>B5*D5</f>
        <v/>
      </c>
      <c r="F5">
        <f>C5*D5</f>
        <v/>
      </c>
      <c r="G5">
        <f>SUM($B$2:B5)</f>
        <v/>
      </c>
      <c r="H5">
        <f>SUM($C$2:C5)</f>
        <v/>
      </c>
    </row>
    <row r="6">
      <c r="A6" t="n">
        <v>4</v>
      </c>
      <c r="B6" t="n">
        <v>10</v>
      </c>
      <c r="C6" t="n">
        <v>150</v>
      </c>
      <c r="D6">
        <f>1/(1+0.1)^A6</f>
        <v/>
      </c>
      <c r="E6">
        <f>B6*D6</f>
        <v/>
      </c>
      <c r="F6">
        <f>C6*D6</f>
        <v/>
      </c>
      <c r="G6">
        <f>SUM($B$2:B6)</f>
        <v/>
      </c>
      <c r="H6">
        <f>SUM($C$2:C6)</f>
        <v/>
      </c>
    </row>
    <row r="7">
      <c r="A7" t="inlineStr">
        <is>
          <t>Tổng</t>
        </is>
      </c>
      <c r="E7">
        <f>SUM(E2:E6)</f>
        <v/>
      </c>
      <c r="F7">
        <f>SUM(F2:F6)</f>
        <v/>
      </c>
      <c r="G7">
        <f>SUM(B2:B6)</f>
        <v/>
      </c>
      <c r="H7">
        <f>SUM(C2:C6)</f>
        <v/>
      </c>
    </row>
    <row r="9">
      <c r="A9" s="2" t="inlineStr">
        <is>
          <t>→ Tổng PV Chi phí = 202.99 | Tổng PV Lợi ích = 347.89 | NPV = 144.9 | ROI = 71.4% | Hoàn vốn ≈ 2.4 năm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1" t="inlineStr">
        <is>
          <t>Chỉ tiêu</t>
        </is>
      </c>
      <c r="B1" s="1" t="inlineStr">
        <is>
          <t>Giá trị (triệu VND)</t>
        </is>
      </c>
      <c r="C1" s="1" t="inlineStr">
        <is>
          <t>Ghi chú</t>
        </is>
      </c>
    </row>
    <row r="2">
      <c r="A2" t="inlineStr">
        <is>
          <t>NPV</t>
        </is>
      </c>
      <c r="B2">
        <f>PhanTichTaiChinh!F7-PhanTichTaiChinh!E7</f>
        <v/>
      </c>
      <c r="C2" t="inlineStr">
        <is>
          <t>NPV &gt; 0 → dự án khả thi</t>
        </is>
      </c>
    </row>
    <row r="3">
      <c r="A3" t="inlineStr">
        <is>
          <t>ROI</t>
        </is>
      </c>
      <c r="B3">
        <f>(PhanTichTaiChinh!F7-PhanTichTaiChinh!E7)/PhanTichTaiChinh!E7</f>
        <v/>
      </c>
      <c r="C3" t="inlineStr">
        <is>
          <t>Hiệu suất sinh lời 71.4%</t>
        </is>
      </c>
    </row>
    <row r="4">
      <c r="A4" t="inlineStr">
        <is>
          <t>Thời gian hoàn vốn</t>
        </is>
      </c>
      <c r="B4" t="inlineStr">
        <is>
          <t>2.4</t>
        </is>
      </c>
      <c r="C4" t="inlineStr">
        <is>
          <t>Hoàn vốn nhanh (dưới 3 năm)</t>
        </is>
      </c>
    </row>
    <row r="6">
      <c r="A6" s="2" t="inlineStr">
        <is>
          <t>→ Kết luận: Dự án TMĐT đạt hiệu quả tài chính, NPV dương, ROI cao, hoàn vốn nhanh.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2025-10-27T09:52:34Z</dcterms:created>
  <dcterms:modified xmlns:dcterms="http://purl.org/dc/terms/" xmlns:xsi="http://www.w3.org/2001/XMLSchema-instance" xsi:type="dcterms:W3CDTF">2025-10-27T09:52:34Z</dcterms:modified>
</cp:coreProperties>
</file>